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09"/>
  <workbookPr/>
  <xr:revisionPtr revIDLastSave="0" documentId="8_{382A7ECE-CDF6-403A-BEAE-B5816D3FF11C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3" i="1" l="1"/>
  <c r="B1" i="1"/>
  <c r="B32" i="1"/>
  <c r="B39" i="1"/>
  <c r="B23" i="1"/>
  <c r="B56" i="1"/>
  <c r="B51" i="1"/>
  <c r="B52" i="1" s="1"/>
  <c r="B45" i="1"/>
  <c r="B46" i="1" s="1"/>
  <c r="B40" i="1"/>
  <c r="B37" i="1"/>
  <c r="B27" i="1"/>
  <c r="B28" i="1"/>
  <c r="B19" i="1"/>
  <c r="B18" i="1"/>
  <c r="B15" i="1"/>
  <c r="B14" i="1"/>
  <c r="B10" i="1"/>
  <c r="B6" i="1"/>
  <c r="B3" i="1"/>
</calcChain>
</file>

<file path=xl/sharedStrings.xml><?xml version="1.0" encoding="utf-8"?>
<sst xmlns="http://schemas.openxmlformats.org/spreadsheetml/2006/main" count="44" uniqueCount="43">
  <si>
    <t>EXPRESSÕES (1.1)</t>
  </si>
  <si>
    <t>metros</t>
  </si>
  <si>
    <t>centímetros</t>
  </si>
  <si>
    <t>polegadas</t>
  </si>
  <si>
    <t>preço de bilhete de cinema</t>
  </si>
  <si>
    <t>número de bilhetes comprados</t>
  </si>
  <si>
    <t>valor total a pagar</t>
  </si>
  <si>
    <t>comprimento do retângulo</t>
  </si>
  <si>
    <t>largura do retângulo</t>
  </si>
  <si>
    <t>perímetro do retangulo</t>
  </si>
  <si>
    <t>área do retângulo</t>
  </si>
  <si>
    <t>lado do quadrado</t>
  </si>
  <si>
    <t>perímetro do quadrado</t>
  </si>
  <si>
    <t>área do quadrado</t>
  </si>
  <si>
    <t>data carnaval</t>
  </si>
  <si>
    <t>data páscoa</t>
  </si>
  <si>
    <t>dias entre as datas</t>
  </si>
  <si>
    <t>custo sem IVA</t>
  </si>
  <si>
    <t>taxa de IVA</t>
  </si>
  <si>
    <t>valor do iva</t>
  </si>
  <si>
    <t>custo final</t>
  </si>
  <si>
    <t>depósito em 1/1/2017</t>
  </si>
  <si>
    <t>taxa de juro</t>
  </si>
  <si>
    <t>valor do juro</t>
  </si>
  <si>
    <t>valor do banco 1/1/2018</t>
  </si>
  <si>
    <t>salário bruto</t>
  </si>
  <si>
    <t>taxa desconto social</t>
  </si>
  <si>
    <t>taxa desconto do IRS</t>
  </si>
  <si>
    <t>valor do desconto IRS</t>
  </si>
  <si>
    <t>salário líquido</t>
  </si>
  <si>
    <t>consumo por 100km (em litros)</t>
  </si>
  <si>
    <t xml:space="preserve">número de kilómetros </t>
  </si>
  <si>
    <t>custo por litro</t>
  </si>
  <si>
    <t>consumo em litros</t>
  </si>
  <si>
    <t>valor total gasto</t>
  </si>
  <si>
    <t>potencia do aparelho (watts)</t>
  </si>
  <si>
    <t>horas de trabalho</t>
  </si>
  <si>
    <t>custo kwh (kilowatt-hora)</t>
  </si>
  <si>
    <t>potencial consumida</t>
  </si>
  <si>
    <t>custo total</t>
  </si>
  <si>
    <t>peso (kg)</t>
  </si>
  <si>
    <t>altura (m)</t>
  </si>
  <si>
    <t>IMC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</si>
</sst>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€-2]\ * #,##0.00_-;\-[$€-2]\ * #,##0.00_-;_-[$€-2]\ * &quot;-&quot;??_-;_-@_-"/>
  </numFmts>
  <fonts count="2">
    <font>
      <sz val="11"/>
      <color theme="1"/>
      <name val="Aptos Narrow"/>
      <family val="2"/>
      <scheme val="minor"/>
    </font>
    <font>
      <sz val="11"/>
      <color rgb="FF11111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0" fillId="2" borderId="1" xfId="0" applyFill="1" applyBorder="1"/>
    <xf numFmtId="9" fontId="0" fillId="0" borderId="1" xfId="0" applyNumberFormat="1" applyBorder="1"/>
    <xf numFmtId="16" fontId="0" fillId="0" borderId="1" xfId="0" applyNumberFormat="1" applyBorder="1"/>
    <xf numFmtId="164" fontId="0" fillId="0" borderId="1" xfId="0" applyNumberFormat="1" applyBorder="1"/>
    <xf numFmtId="164" fontId="0" fillId="2" borderId="1" xfId="0" applyNumberFormat="1" applyFill="1" applyBorder="1"/>
    <xf numFmtId="0" fontId="0" fillId="0" borderId="2" xfId="0" applyBorder="1"/>
    <xf numFmtId="0" fontId="0" fillId="0" borderId="3" xfId="0" applyBorder="1"/>
    <xf numFmtId="0" fontId="0" fillId="2" borderId="4" xfId="0" applyFill="1" applyBorder="1"/>
    <xf numFmtId="10" fontId="1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6"/>
  <sheetViews>
    <sheetView tabSelected="1" topLeftCell="A23" workbookViewId="0">
      <selection activeCell="C34" sqref="C34"/>
    </sheetView>
  </sheetViews>
  <sheetFormatPr defaultRowHeight="15"/>
  <cols>
    <col min="1" max="1" width="41.42578125" customWidth="1"/>
    <col min="2" max="2" width="28.7109375" customWidth="1"/>
  </cols>
  <sheetData>
    <row r="1" spans="1:2">
      <c r="A1" s="1" t="s">
        <v>0</v>
      </c>
      <c r="B1" s="1">
        <f>5*(4+(3-2))</f>
        <v>25</v>
      </c>
    </row>
    <row r="2" spans="1:2">
      <c r="A2" s="1" t="s">
        <v>1</v>
      </c>
      <c r="B2" s="1">
        <v>1.73</v>
      </c>
    </row>
    <row r="3" spans="1:2">
      <c r="A3" s="1" t="s">
        <v>2</v>
      </c>
      <c r="B3" s="2">
        <f>B2*100</f>
        <v>173</v>
      </c>
    </row>
    <row r="4" spans="1:2">
      <c r="A4" s="1"/>
      <c r="B4" s="1"/>
    </row>
    <row r="5" spans="1:2">
      <c r="A5" s="1" t="s">
        <v>3</v>
      </c>
      <c r="B5" s="1">
        <v>45</v>
      </c>
    </row>
    <row r="6" spans="1:2">
      <c r="A6" s="1" t="s">
        <v>2</v>
      </c>
      <c r="B6" s="2">
        <f>B5*2.54</f>
        <v>114.3</v>
      </c>
    </row>
    <row r="7" spans="1:2">
      <c r="A7" s="1"/>
      <c r="B7" s="1"/>
    </row>
    <row r="8" spans="1:2">
      <c r="A8" s="1" t="s">
        <v>4</v>
      </c>
      <c r="B8" s="5">
        <v>25</v>
      </c>
    </row>
    <row r="9" spans="1:2">
      <c r="A9" s="1" t="s">
        <v>5</v>
      </c>
      <c r="B9" s="1">
        <v>2</v>
      </c>
    </row>
    <row r="10" spans="1:2">
      <c r="A10" s="1" t="s">
        <v>6</v>
      </c>
      <c r="B10" s="6">
        <f>B9*B8</f>
        <v>50</v>
      </c>
    </row>
    <row r="11" spans="1:2">
      <c r="A11" s="1"/>
      <c r="B11" s="1"/>
    </row>
    <row r="12" spans="1:2">
      <c r="A12" s="1" t="s">
        <v>7</v>
      </c>
      <c r="B12" s="1">
        <v>23</v>
      </c>
    </row>
    <row r="13" spans="1:2">
      <c r="A13" s="1" t="s">
        <v>8</v>
      </c>
      <c r="B13" s="1">
        <v>35</v>
      </c>
    </row>
    <row r="14" spans="1:2">
      <c r="A14" s="1" t="s">
        <v>9</v>
      </c>
      <c r="B14" s="2">
        <f>2*(B12+B13)</f>
        <v>116</v>
      </c>
    </row>
    <row r="15" spans="1:2">
      <c r="A15" s="1" t="s">
        <v>10</v>
      </c>
      <c r="B15" s="2">
        <f>B12*B13</f>
        <v>805</v>
      </c>
    </row>
    <row r="16" spans="1:2">
      <c r="A16" s="1"/>
      <c r="B16" s="1"/>
    </row>
    <row r="17" spans="1:2">
      <c r="A17" s="1" t="s">
        <v>11</v>
      </c>
      <c r="B17" s="1">
        <v>2</v>
      </c>
    </row>
    <row r="18" spans="1:2">
      <c r="A18" s="1" t="s">
        <v>12</v>
      </c>
      <c r="B18" s="1">
        <f>2*(B17+B17)</f>
        <v>8</v>
      </c>
    </row>
    <row r="19" spans="1:2">
      <c r="A19" s="1" t="s">
        <v>13</v>
      </c>
      <c r="B19" s="2">
        <f>B17*B17</f>
        <v>4</v>
      </c>
    </row>
    <row r="20" spans="1:2">
      <c r="A20" s="1"/>
      <c r="B20" s="1"/>
    </row>
    <row r="21" spans="1:2">
      <c r="A21" s="1" t="s">
        <v>14</v>
      </c>
      <c r="B21" s="4">
        <v>45301</v>
      </c>
    </row>
    <row r="22" spans="1:2">
      <c r="A22" s="1" t="s">
        <v>15</v>
      </c>
      <c r="B22" s="4">
        <v>45402</v>
      </c>
    </row>
    <row r="23" spans="1:2">
      <c r="A23" s="1" t="s">
        <v>16</v>
      </c>
      <c r="B23" s="2">
        <f>B22-B21</f>
        <v>101</v>
      </c>
    </row>
    <row r="24" spans="1:2">
      <c r="A24" s="1"/>
      <c r="B24" s="1"/>
    </row>
    <row r="25" spans="1:2">
      <c r="A25" s="1" t="s">
        <v>17</v>
      </c>
      <c r="B25" s="1">
        <v>23</v>
      </c>
    </row>
    <row r="26" spans="1:2">
      <c r="A26" s="1" t="s">
        <v>18</v>
      </c>
      <c r="B26" s="3">
        <v>0.23</v>
      </c>
    </row>
    <row r="27" spans="1:2">
      <c r="A27" s="1" t="s">
        <v>19</v>
      </c>
      <c r="B27" s="1">
        <f>B25*B26</f>
        <v>5.29</v>
      </c>
    </row>
    <row r="28" spans="1:2">
      <c r="A28" s="1" t="s">
        <v>20</v>
      </c>
      <c r="B28" s="2">
        <f>B25+B27</f>
        <v>28.29</v>
      </c>
    </row>
    <row r="29" spans="1:2">
      <c r="A29" s="1"/>
      <c r="B29" s="1"/>
    </row>
    <row r="30" spans="1:2">
      <c r="A30" s="1" t="s">
        <v>21</v>
      </c>
      <c r="B30" s="1">
        <v>200</v>
      </c>
    </row>
    <row r="31" spans="1:2">
      <c r="A31" s="1" t="s">
        <v>22</v>
      </c>
      <c r="B31" s="3">
        <v>0.02</v>
      </c>
    </row>
    <row r="32" spans="1:2">
      <c r="A32" s="1" t="s">
        <v>23</v>
      </c>
      <c r="B32" s="1">
        <f>B30*B31</f>
        <v>4</v>
      </c>
    </row>
    <row r="33" spans="1:2">
      <c r="A33" s="1" t="s">
        <v>24</v>
      </c>
      <c r="B33" s="2">
        <f>B30+(B32*12)</f>
        <v>248</v>
      </c>
    </row>
    <row r="34" spans="1:2">
      <c r="B34" s="1"/>
    </row>
    <row r="35" spans="1:2">
      <c r="A35" s="1" t="s">
        <v>25</v>
      </c>
      <c r="B35" s="8">
        <v>200</v>
      </c>
    </row>
    <row r="36" spans="1:2">
      <c r="A36" s="7" t="s">
        <v>26</v>
      </c>
      <c r="B36" s="10">
        <v>0.33800000000000002</v>
      </c>
    </row>
    <row r="37" spans="1:2">
      <c r="A37" s="1" t="s">
        <v>27</v>
      </c>
      <c r="B37" s="9">
        <f>B35*B36</f>
        <v>67.600000000000009</v>
      </c>
    </row>
    <row r="38" spans="1:2">
      <c r="A38" s="1"/>
      <c r="B38" s="1"/>
    </row>
    <row r="39" spans="1:2">
      <c r="A39" s="1" t="s">
        <v>28</v>
      </c>
      <c r="B39" s="1">
        <f>B35*B36</f>
        <v>67.600000000000009</v>
      </c>
    </row>
    <row r="40" spans="1:2">
      <c r="A40" s="1" t="s">
        <v>29</v>
      </c>
      <c r="B40" s="2">
        <f>B35-B36-B39</f>
        <v>132.06200000000001</v>
      </c>
    </row>
    <row r="41" spans="1:2">
      <c r="A41" s="1"/>
      <c r="B41" s="1"/>
    </row>
    <row r="42" spans="1:2">
      <c r="A42" s="1" t="s">
        <v>30</v>
      </c>
      <c r="B42" s="1">
        <v>2</v>
      </c>
    </row>
    <row r="43" spans="1:2">
      <c r="A43" s="1" t="s">
        <v>31</v>
      </c>
      <c r="B43" s="1">
        <v>30</v>
      </c>
    </row>
    <row r="44" spans="1:2">
      <c r="A44" s="1" t="s">
        <v>32</v>
      </c>
      <c r="B44" s="1">
        <v>2</v>
      </c>
    </row>
    <row r="45" spans="1:2">
      <c r="A45" s="1" t="s">
        <v>33</v>
      </c>
      <c r="B45" s="1">
        <f>(B42/100)*B43</f>
        <v>0.6</v>
      </c>
    </row>
    <row r="46" spans="1:2">
      <c r="A46" s="1" t="s">
        <v>34</v>
      </c>
      <c r="B46" s="2">
        <f>B44*B45</f>
        <v>1.2</v>
      </c>
    </row>
    <row r="47" spans="1:2">
      <c r="A47" s="1"/>
      <c r="B47" s="1"/>
    </row>
    <row r="48" spans="1:2">
      <c r="A48" s="1" t="s">
        <v>35</v>
      </c>
      <c r="B48" s="1">
        <v>20</v>
      </c>
    </row>
    <row r="49" spans="1:2">
      <c r="A49" s="1" t="s">
        <v>36</v>
      </c>
      <c r="B49" s="1">
        <v>30</v>
      </c>
    </row>
    <row r="50" spans="1:2">
      <c r="A50" s="1" t="s">
        <v>37</v>
      </c>
      <c r="B50" s="3">
        <v>3</v>
      </c>
    </row>
    <row r="51" spans="1:2">
      <c r="A51" s="1" t="s">
        <v>38</v>
      </c>
      <c r="B51" s="1">
        <f>(B48/1000)*B49</f>
        <v>0.6</v>
      </c>
    </row>
    <row r="52" spans="1:2">
      <c r="A52" s="1" t="s">
        <v>39</v>
      </c>
      <c r="B52" s="2">
        <f>B50*B51</f>
        <v>1.7999999999999998</v>
      </c>
    </row>
    <row r="53" spans="1:2">
      <c r="A53" s="1"/>
      <c r="B53" s="1"/>
    </row>
    <row r="54" spans="1:2">
      <c r="A54" s="1" t="s">
        <v>40</v>
      </c>
      <c r="B54" s="1">
        <v>1000</v>
      </c>
    </row>
    <row r="55" spans="1:2">
      <c r="A55" s="1" t="s">
        <v>41</v>
      </c>
      <c r="B55" s="1">
        <v>2000</v>
      </c>
    </row>
    <row r="56" spans="1:2">
      <c r="A56" s="1" t="s">
        <v>42</v>
      </c>
      <c r="B56" s="2">
        <f>B54/B55^2</f>
        <v>2.5000000000000001E-4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2024-12-12T17:56:24Z</dcterms:created>
  <dcterms:modified xsi:type="dcterms:W3CDTF">2024-12-13T09:47:48Z</dcterms:modified>
  <cp:category/>
  <cp:contentStatus/>
</cp:coreProperties>
</file>